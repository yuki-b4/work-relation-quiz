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ターゲット10社リスト" sheetId="1" state="visible" r:id="rId1"/>
    <sheet name="候補の出し方" sheetId="2" state="visible" r:id="rId2"/>
    <sheet name="声かけスクリプト" sheetId="3" state="visible" r:id="rId3"/>
    <sheet name="選定基準・配点" sheetId="4" state="visible" r:id="rId4"/>
  </sheets>
  <definedNames>
    <definedName name="_xlnm._FilterDatabase" localSheetId="0" hidden="1">'ターゲット10社リスト'!$A$3:$P$15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2E3A46"/>
      <sz val="14"/>
    </font>
    <font>
      <color rgb="006B7A87"/>
      <sz val="9"/>
    </font>
    <font>
      <b val="1"/>
      <color rgb="002F8F88"/>
      <sz val="11"/>
    </font>
    <font>
      <b val="1"/>
      <color rgb="00B23A22"/>
      <sz val="11"/>
    </font>
    <font>
      <b val="1"/>
      <color rgb="00FFFFFF"/>
      <sz val="11"/>
    </font>
    <font>
      <b val="1"/>
      <color rgb="002E3A46"/>
      <sz val="11"/>
    </font>
    <font>
      <b val="1"/>
      <color rgb="00FFFFFF"/>
      <sz val="10"/>
    </font>
    <font>
      <i val="1"/>
      <color rgb="006B7A87"/>
      <sz val="10"/>
    </font>
    <font>
      <b val="1"/>
      <sz val="10"/>
    </font>
    <font>
      <color rgb="002E3A46"/>
      <sz val="9"/>
    </font>
    <font>
      <b val="1"/>
      <color rgb="00FFFFFF"/>
    </font>
    <font>
      <color rgb="002E3A46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2F8F88"/>
      </patternFill>
    </fill>
    <fill>
      <patternFill patternType="solid">
        <fgColor rgb="00EEF1F4"/>
      </patternFill>
    </fill>
    <fill>
      <patternFill patternType="solid">
        <fgColor rgb="00E0F0EE"/>
      </patternFill>
    </fill>
    <fill>
      <patternFill patternType="solid">
        <fgColor rgb="00F5F8F9"/>
      </patternFill>
    </fill>
  </fills>
  <borders count="2">
    <border>
      <left/>
      <right/>
      <top/>
      <bottom/>
      <diagonal/>
    </border>
    <border>
      <left style="thin">
        <color rgb="00C7D0D8"/>
      </left>
      <right style="thin">
        <color rgb="00C7D0D8"/>
      </right>
      <top style="thin">
        <color rgb="00C7D0D8"/>
      </top>
      <bottom style="thin">
        <color rgb="00C7D0D8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1" fontId="8" fillId="3" borderId="1" applyAlignment="1" pivotButton="0" quotePrefix="0" xfId="0">
      <alignment vertical="center"/>
    </xf>
    <xf numFmtId="1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11" fillId="2" borderId="0" applyAlignment="1" pivotButton="0" quotePrefix="0" xfId="0">
      <alignment vertical="center"/>
    </xf>
    <xf numFmtId="0" fontId="12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center" vertical="top"/>
    </xf>
    <xf numFmtId="0" fontId="12" fillId="5" borderId="1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1E6B64"/>
      </font>
      <fill>
        <patternFill patternType="solid">
          <fgColor rgb="00C9E7E3"/>
        </patternFill>
      </fill>
    </dxf>
    <dxf>
      <font>
        <b val="1"/>
        <color rgb="008A6D1B"/>
      </font>
      <fill>
        <patternFill patternType="solid">
          <fgColor rgb="00FFF3D6"/>
        </patternFill>
      </fill>
    </dxf>
    <dxf>
      <font>
        <b val="1"/>
        <color rgb="00B23A22"/>
      </font>
      <fill>
        <patternFill patternType="solid">
          <fgColor rgb="00FBE7E1"/>
        </patternFill>
      </fill>
    </dxf>
    <dxf>
      <font>
        <color rgb="006B7A87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8F88"/>
    <outlinePr summaryBelow="1" summaryRight="1"/>
    <pageSetUpPr/>
  </sheetPr>
  <dimension ref="A1:P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12" customWidth="1" min="4" max="4"/>
    <col width="7" customWidth="1" min="5" max="5"/>
    <col width="12" customWidth="1" min="6" max="6"/>
    <col width="16" customWidth="1" min="7" max="7"/>
    <col width="11" customWidth="1" min="8" max="8"/>
    <col width="10" customWidth="1" min="9" max="9"/>
    <col width="12" customWidth="1" min="10" max="10"/>
    <col width="15" customWidth="1" min="11" max="11"/>
    <col width="8" customWidth="1" min="12" max="12"/>
    <col width="9" customWidth="1" min="13" max="13"/>
    <col width="13" customWidth="1" min="14" max="14"/>
    <col width="26" customWidth="1" min="15" max="15"/>
    <col width="24" customWidth="1" min="16" max="16"/>
  </cols>
  <sheetData>
    <row r="1">
      <c r="A1" s="1" t="inlineStr">
        <is>
          <t>ターゲット法人10社リスト（90日WBS M1／W2）</t>
        </is>
      </c>
    </row>
    <row r="2">
      <c r="A2" s="2" t="inlineStr">
        <is>
          <t>会社名を入れると『優先度スコア』『判定』が自動計算。候補が出ないときは『候補の出し方』シート、声のかけ方は『声かけスクリプト』シートへ。※社名・数値は記入例。実データに置換してください。</t>
        </is>
      </c>
    </row>
    <row r="3" ht="34" customHeight="1">
      <c r="A3" s="3" t="inlineStr">
        <is>
          <t>No.</t>
        </is>
      </c>
      <c r="B3" s="3" t="inlineStr">
        <is>
          <t>会社／店舗名</t>
        </is>
      </c>
      <c r="C3" s="3" t="inlineStr">
        <is>
          <t>業種（Tier1）</t>
        </is>
      </c>
      <c r="D3" s="3" t="inlineStr">
        <is>
          <t>所在地</t>
        </is>
      </c>
      <c r="E3" s="3" t="inlineStr">
        <is>
          <t>規模
(人数)</t>
        </is>
      </c>
      <c r="F3" s="3" t="inlineStr">
        <is>
          <t>決裁者
(役割)</t>
        </is>
      </c>
      <c r="G3" s="3" t="inlineStr">
        <is>
          <t>即決度</t>
        </is>
      </c>
      <c r="H3" s="3" t="inlineStr">
        <is>
          <t>離職・採用
の痛み</t>
        </is>
      </c>
      <c r="I3" s="3" t="inlineStr">
        <is>
          <t>長期雇用
育成志向</t>
        </is>
      </c>
      <c r="J3" s="3" t="inlineStr">
        <is>
          <t>スポット
ワーク依存</t>
        </is>
      </c>
      <c r="K3" s="3" t="inlineStr">
        <is>
          <t>接点（経路）</t>
        </is>
      </c>
      <c r="L3" s="3" t="inlineStr">
        <is>
          <t>優先度
スコア</t>
        </is>
      </c>
      <c r="M3" s="3" t="inlineStr">
        <is>
          <t>判定</t>
        </is>
      </c>
      <c r="N3" s="3" t="inlineStr">
        <is>
          <t>ステータス</t>
        </is>
      </c>
      <c r="O3" s="3" t="inlineStr">
        <is>
          <t>次アクション</t>
        </is>
      </c>
      <c r="P3" s="3" t="inlineStr">
        <is>
          <t>メモ</t>
        </is>
      </c>
    </row>
    <row r="4">
      <c r="A4" s="4" t="inlineStr">
        <is>
          <t>例</t>
        </is>
      </c>
      <c r="B4" s="5" t="inlineStr">
        <is>
          <t>（例）海辺のカフェ A店</t>
        </is>
      </c>
      <c r="C4" s="5" t="inlineStr">
        <is>
          <t>飲食・カフェ</t>
        </is>
      </c>
      <c r="D4" s="5" t="inlineStr">
        <is>
          <t>神奈川・鎌倉</t>
        </is>
      </c>
      <c r="E4" s="6" t="n">
        <v>8</v>
      </c>
      <c r="F4" s="5" t="inlineStr">
        <is>
          <t>オーナー</t>
        </is>
      </c>
      <c r="G4" s="5" t="inlineStr">
        <is>
          <t>即決可（トップ即決）</t>
        </is>
      </c>
      <c r="H4" s="5" t="inlineStr">
        <is>
          <t>高（顕在）</t>
        </is>
      </c>
      <c r="I4" s="5" t="inlineStr">
        <is>
          <t>強い</t>
        </is>
      </c>
      <c r="J4" s="5" t="inlineStr">
        <is>
          <t>なし</t>
        </is>
      </c>
      <c r="K4" s="5" t="inlineStr">
        <is>
          <t>紹介（トップ直）</t>
        </is>
      </c>
      <c r="L4" s="7">
        <f>IF($B4="","",IFERROR(VLOOKUP($C4,'選定基準・配点'!$B$21:$C$28,2,FALSE),0)+IF($E4="",0,IF(AND($E4&gt;=5,$E4&lt;=15),2,IF(OR(AND($E4&gt;=3,$E4&lt;=4),AND($E4&gt;=16,$E4&lt;=25)),1,0)))+IFERROR(VLOOKUP($G4,'選定基準・配点'!$B$30:$C$32,2,FALSE),0)+IFERROR(VLOOKUP($H4,'選定基準・配点'!$B$34:$C$36,2,FALSE),0)+IFERROR(VLOOKUP($I4,'選定基準・配点'!$B$38:$C$41,2,FALSE),0)+IFERROR(VLOOKUP($K4,'選定基準・配点'!$B$43:$C$48,2,FALSE),0))</f>
        <v/>
      </c>
      <c r="M4" s="8">
        <f>IF($B4="","",IF($J4="恒常依存（除外）","除外",IF($L4&gt;=12,"優先",IF($L4&gt;=8,"要検討","見送り候補"))))</f>
        <v/>
      </c>
      <c r="N4" s="5" t="inlineStr">
        <is>
          <t>未接触</t>
        </is>
      </c>
      <c r="O4" s="9" t="inlineStr">
        <is>
          <t>紹介者経由でオーナーに1回受診を打診</t>
        </is>
      </c>
      <c r="P4" s="9" t="inlineStr">
        <is>
          <t>接客中心・繁忙期の定着に課題</t>
        </is>
      </c>
    </row>
    <row r="5">
      <c r="A5" s="4" t="inlineStr">
        <is>
          <t>例</t>
        </is>
      </c>
      <c r="B5" s="5" t="inlineStr">
        <is>
          <t>（例）Bダイニング（多店舗）</t>
        </is>
      </c>
      <c r="C5" s="5" t="inlineStr">
        <is>
          <t>飲食・カフェ</t>
        </is>
      </c>
      <c r="D5" s="5" t="inlineStr">
        <is>
          <t>東京・都内</t>
        </is>
      </c>
      <c r="E5" s="6" t="n">
        <v>40</v>
      </c>
      <c r="F5" s="5" t="inlineStr">
        <is>
          <t>エリアマネージャー</t>
        </is>
      </c>
      <c r="G5" s="5" t="inlineStr">
        <is>
          <t>稟議必要</t>
        </is>
      </c>
      <c r="H5" s="5" t="inlineStr">
        <is>
          <t>中</t>
        </is>
      </c>
      <c r="I5" s="5" t="inlineStr">
        <is>
          <t>不明</t>
        </is>
      </c>
      <c r="J5" s="5" t="inlineStr">
        <is>
          <t>恒常依存（除外）</t>
        </is>
      </c>
      <c r="K5" s="5" t="inlineStr">
        <is>
          <t>直接（コールド）</t>
        </is>
      </c>
      <c r="L5" s="7">
        <f>IF($B5="","",IFERROR(VLOOKUP($C5,'選定基準・配点'!$B$21:$C$28,2,FALSE),0)+IF($E5="",0,IF(AND($E5&gt;=5,$E5&lt;=15),2,IF(OR(AND($E5&gt;=3,$E5&lt;=4),AND($E5&gt;=16,$E5&lt;=25)),1,0)))+IFERROR(VLOOKUP($G5,'選定基準・配点'!$B$30:$C$32,2,FALSE),0)+IFERROR(VLOOKUP($H5,'選定基準・配点'!$B$34:$C$36,2,FALSE),0)+IFERROR(VLOOKUP($I5,'選定基準・配点'!$B$38:$C$41,2,FALSE),0)+IFERROR(VLOOKUP($K5,'選定基準・配点'!$B$43:$C$48,2,FALSE),0))</f>
        <v/>
      </c>
      <c r="M5" s="8">
        <f>IF($B5="","",IF($J5="恒常依存（除外）","除外",IF($L5&gt;=12,"優先",IF($L5&gt;=8,"要検討","見送り候補"))))</f>
        <v/>
      </c>
      <c r="N5" s="5" t="inlineStr">
        <is>
          <t>見送り</t>
        </is>
      </c>
      <c r="O5" s="9" t="inlineStr">
        <is>
          <t>初期リストからは外す（スポットワーク恒常依存）</t>
        </is>
      </c>
      <c r="P5" s="9" t="inlineStr">
        <is>
          <t>除外条件に該当の例</t>
        </is>
      </c>
    </row>
    <row r="6">
      <c r="A6" s="10" t="n">
        <v>1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3">
        <f>IF($B6="","",IFERROR(VLOOKUP($C6,'選定基準・配点'!$B$21:$C$28,2,FALSE),0)+IF($E6="",0,IF(AND($E6&gt;=5,$E6&lt;=15),2,IF(OR(AND($E6&gt;=3,$E6&lt;=4),AND($E6&gt;=16,$E6&lt;=25)),1,0)))+IFERROR(VLOOKUP($G6,'選定基準・配点'!$B$30:$C$32,2,FALSE),0)+IFERROR(VLOOKUP($H6,'選定基準・配点'!$B$34:$C$36,2,FALSE),0)+IFERROR(VLOOKUP($I6,'選定基準・配点'!$B$38:$C$41,2,FALSE),0)+IFERROR(VLOOKUP($K6,'選定基準・配点'!$B$43:$C$48,2,FALSE),0))</f>
        <v/>
      </c>
      <c r="M6" s="14">
        <f>IF($B6="","",IF($J6="恒常依存（除外）","除外",IF($L6&gt;=12,"優先",IF($L6&gt;=8,"要検討","見送り候補"))))</f>
        <v/>
      </c>
      <c r="N6" s="11" t="n"/>
      <c r="O6" s="15" t="n"/>
      <c r="P6" s="15" t="n"/>
    </row>
    <row r="7">
      <c r="A7" s="10" t="n">
        <v>2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3">
        <f>IF($B7="","",IFERROR(VLOOKUP($C7,'選定基準・配点'!$B$21:$C$28,2,FALSE),0)+IF($E7="",0,IF(AND($E7&gt;=5,$E7&lt;=15),2,IF(OR(AND($E7&gt;=3,$E7&lt;=4),AND($E7&gt;=16,$E7&lt;=25)),1,0)))+IFERROR(VLOOKUP($G7,'選定基準・配点'!$B$30:$C$32,2,FALSE),0)+IFERROR(VLOOKUP($H7,'選定基準・配点'!$B$34:$C$36,2,FALSE),0)+IFERROR(VLOOKUP($I7,'選定基準・配点'!$B$38:$C$41,2,FALSE),0)+IFERROR(VLOOKUP($K7,'選定基準・配点'!$B$43:$C$48,2,FALSE),0))</f>
        <v/>
      </c>
      <c r="M7" s="14">
        <f>IF($B7="","",IF($J7="恒常依存（除外）","除外",IF($L7&gt;=12,"優先",IF($L7&gt;=8,"要検討","見送り候補"))))</f>
        <v/>
      </c>
      <c r="N7" s="11" t="n"/>
      <c r="O7" s="15" t="n"/>
      <c r="P7" s="15" t="n"/>
    </row>
    <row r="8">
      <c r="A8" s="10" t="n">
        <v>3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3">
        <f>IF($B8="","",IFERROR(VLOOKUP($C8,'選定基準・配点'!$B$21:$C$28,2,FALSE),0)+IF($E8="",0,IF(AND($E8&gt;=5,$E8&lt;=15),2,IF(OR(AND($E8&gt;=3,$E8&lt;=4),AND($E8&gt;=16,$E8&lt;=25)),1,0)))+IFERROR(VLOOKUP($G8,'選定基準・配点'!$B$30:$C$32,2,FALSE),0)+IFERROR(VLOOKUP($H8,'選定基準・配点'!$B$34:$C$36,2,FALSE),0)+IFERROR(VLOOKUP($I8,'選定基準・配点'!$B$38:$C$41,2,FALSE),0)+IFERROR(VLOOKUP($K8,'選定基準・配点'!$B$43:$C$48,2,FALSE),0))</f>
        <v/>
      </c>
      <c r="M8" s="14">
        <f>IF($B8="","",IF($J8="恒常依存（除外）","除外",IF($L8&gt;=12,"優先",IF($L8&gt;=8,"要検討","見送り候補"))))</f>
        <v/>
      </c>
      <c r="N8" s="11" t="n"/>
      <c r="O8" s="15" t="n"/>
      <c r="P8" s="15" t="n"/>
    </row>
    <row r="9">
      <c r="A9" s="10" t="n">
        <v>4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3">
        <f>IF($B9="","",IFERROR(VLOOKUP($C9,'選定基準・配点'!$B$21:$C$28,2,FALSE),0)+IF($E9="",0,IF(AND($E9&gt;=5,$E9&lt;=15),2,IF(OR(AND($E9&gt;=3,$E9&lt;=4),AND($E9&gt;=16,$E9&lt;=25)),1,0)))+IFERROR(VLOOKUP($G9,'選定基準・配点'!$B$30:$C$32,2,FALSE),0)+IFERROR(VLOOKUP($H9,'選定基準・配点'!$B$34:$C$36,2,FALSE),0)+IFERROR(VLOOKUP($I9,'選定基準・配点'!$B$38:$C$41,2,FALSE),0)+IFERROR(VLOOKUP($K9,'選定基準・配点'!$B$43:$C$48,2,FALSE),0))</f>
        <v/>
      </c>
      <c r="M9" s="14">
        <f>IF($B9="","",IF($J9="恒常依存（除外）","除外",IF($L9&gt;=12,"優先",IF($L9&gt;=8,"要検討","見送り候補"))))</f>
        <v/>
      </c>
      <c r="N9" s="11" t="n"/>
      <c r="O9" s="15" t="n"/>
      <c r="P9" s="15" t="n"/>
    </row>
    <row r="10">
      <c r="A10" s="10" t="n">
        <v>5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3">
        <f>IF($B10="","",IFERROR(VLOOKUP($C10,'選定基準・配点'!$B$21:$C$28,2,FALSE),0)+IF($E10="",0,IF(AND($E10&gt;=5,$E10&lt;=15),2,IF(OR(AND($E10&gt;=3,$E10&lt;=4),AND($E10&gt;=16,$E10&lt;=25)),1,0)))+IFERROR(VLOOKUP($G10,'選定基準・配点'!$B$30:$C$32,2,FALSE),0)+IFERROR(VLOOKUP($H10,'選定基準・配点'!$B$34:$C$36,2,FALSE),0)+IFERROR(VLOOKUP($I10,'選定基準・配点'!$B$38:$C$41,2,FALSE),0)+IFERROR(VLOOKUP($K10,'選定基準・配点'!$B$43:$C$48,2,FALSE),0))</f>
        <v/>
      </c>
      <c r="M10" s="14">
        <f>IF($B10="","",IF($J10="恒常依存（除外）","除外",IF($L10&gt;=12,"優先",IF($L10&gt;=8,"要検討","見送り候補"))))</f>
        <v/>
      </c>
      <c r="N10" s="11" t="n"/>
      <c r="O10" s="15" t="n"/>
      <c r="P10" s="15" t="n"/>
    </row>
    <row r="11">
      <c r="A11" s="10" t="n">
        <v>6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3">
        <f>IF($B11="","",IFERROR(VLOOKUP($C11,'選定基準・配点'!$B$21:$C$28,2,FALSE),0)+IF($E11="",0,IF(AND($E11&gt;=5,$E11&lt;=15),2,IF(OR(AND($E11&gt;=3,$E11&lt;=4),AND($E11&gt;=16,$E11&lt;=25)),1,0)))+IFERROR(VLOOKUP($G11,'選定基準・配点'!$B$30:$C$32,2,FALSE),0)+IFERROR(VLOOKUP($H11,'選定基準・配点'!$B$34:$C$36,2,FALSE),0)+IFERROR(VLOOKUP($I11,'選定基準・配点'!$B$38:$C$41,2,FALSE),0)+IFERROR(VLOOKUP($K11,'選定基準・配点'!$B$43:$C$48,2,FALSE),0))</f>
        <v/>
      </c>
      <c r="M11" s="14">
        <f>IF($B11="","",IF($J11="恒常依存（除外）","除外",IF($L11&gt;=12,"優先",IF($L11&gt;=8,"要検討","見送り候補"))))</f>
        <v/>
      </c>
      <c r="N11" s="11" t="n"/>
      <c r="O11" s="15" t="n"/>
      <c r="P11" s="15" t="n"/>
    </row>
    <row r="12">
      <c r="A12" s="10" t="n">
        <v>7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3">
        <f>IF($B12="","",IFERROR(VLOOKUP($C12,'選定基準・配点'!$B$21:$C$28,2,FALSE),0)+IF($E12="",0,IF(AND($E12&gt;=5,$E12&lt;=15),2,IF(OR(AND($E12&gt;=3,$E12&lt;=4),AND($E12&gt;=16,$E12&lt;=25)),1,0)))+IFERROR(VLOOKUP($G12,'選定基準・配点'!$B$30:$C$32,2,FALSE),0)+IFERROR(VLOOKUP($H12,'選定基準・配点'!$B$34:$C$36,2,FALSE),0)+IFERROR(VLOOKUP($I12,'選定基準・配点'!$B$38:$C$41,2,FALSE),0)+IFERROR(VLOOKUP($K12,'選定基準・配点'!$B$43:$C$48,2,FALSE),0))</f>
        <v/>
      </c>
      <c r="M12" s="14">
        <f>IF($B12="","",IF($J12="恒常依存（除外）","除外",IF($L12&gt;=12,"優先",IF($L12&gt;=8,"要検討","見送り候補"))))</f>
        <v/>
      </c>
      <c r="N12" s="11" t="n"/>
      <c r="O12" s="15" t="n"/>
      <c r="P12" s="15" t="n"/>
    </row>
    <row r="13">
      <c r="A13" s="10" t="n">
        <v>8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3">
        <f>IF($B13="","",IFERROR(VLOOKUP($C13,'選定基準・配点'!$B$21:$C$28,2,FALSE),0)+IF($E13="",0,IF(AND($E13&gt;=5,$E13&lt;=15),2,IF(OR(AND($E13&gt;=3,$E13&lt;=4),AND($E13&gt;=16,$E13&lt;=25)),1,0)))+IFERROR(VLOOKUP($G13,'選定基準・配点'!$B$30:$C$32,2,FALSE),0)+IFERROR(VLOOKUP($H13,'選定基準・配点'!$B$34:$C$36,2,FALSE),0)+IFERROR(VLOOKUP($I13,'選定基準・配点'!$B$38:$C$41,2,FALSE),0)+IFERROR(VLOOKUP($K13,'選定基準・配点'!$B$43:$C$48,2,FALSE),0))</f>
        <v/>
      </c>
      <c r="M13" s="14">
        <f>IF($B13="","",IF($J13="恒常依存（除外）","除外",IF($L13&gt;=12,"優先",IF($L13&gt;=8,"要検討","見送り候補"))))</f>
        <v/>
      </c>
      <c r="N13" s="11" t="n"/>
      <c r="O13" s="15" t="n"/>
      <c r="P13" s="15" t="n"/>
    </row>
    <row r="14">
      <c r="A14" s="10" t="n">
        <v>9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3">
        <f>IF($B14="","",IFERROR(VLOOKUP($C14,'選定基準・配点'!$B$21:$C$28,2,FALSE),0)+IF($E14="",0,IF(AND($E14&gt;=5,$E14&lt;=15),2,IF(OR(AND($E14&gt;=3,$E14&lt;=4),AND($E14&gt;=16,$E14&lt;=25)),1,0)))+IFERROR(VLOOKUP($G14,'選定基準・配点'!$B$30:$C$32,2,FALSE),0)+IFERROR(VLOOKUP($H14,'選定基準・配点'!$B$34:$C$36,2,FALSE),0)+IFERROR(VLOOKUP($I14,'選定基準・配点'!$B$38:$C$41,2,FALSE),0)+IFERROR(VLOOKUP($K14,'選定基準・配点'!$B$43:$C$48,2,FALSE),0))</f>
        <v/>
      </c>
      <c r="M14" s="14">
        <f>IF($B14="","",IF($J14="恒常依存（除外）","除外",IF($L14&gt;=12,"優先",IF($L14&gt;=8,"要検討","見送り候補"))))</f>
        <v/>
      </c>
      <c r="N14" s="11" t="n"/>
      <c r="O14" s="15" t="n"/>
      <c r="P14" s="15" t="n"/>
    </row>
    <row r="15">
      <c r="A15" s="10" t="n">
        <v>10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3">
        <f>IF($B15="","",IFERROR(VLOOKUP($C15,'選定基準・配点'!$B$21:$C$28,2,FALSE),0)+IF($E15="",0,IF(AND($E15&gt;=5,$E15&lt;=15),2,IF(OR(AND($E15&gt;=3,$E15&lt;=4),AND($E15&gt;=16,$E15&lt;=25)),1,0)))+IFERROR(VLOOKUP($G15,'選定基準・配点'!$B$30:$C$32,2,FALSE),0)+IFERROR(VLOOKUP($H15,'選定基準・配点'!$B$34:$C$36,2,FALSE),0)+IFERROR(VLOOKUP($I15,'選定基準・配点'!$B$38:$C$41,2,FALSE),0)+IFERROR(VLOOKUP($K15,'選定基準・配点'!$B$43:$C$48,2,FALSE),0))</f>
        <v/>
      </c>
      <c r="M15" s="14">
        <f>IF($B15="","",IF($J15="恒常依存（除外）","除外",IF($L15&gt;=12,"優先",IF($L15&gt;=8,"要検討","見送り候補"))))</f>
        <v/>
      </c>
      <c r="N15" s="11" t="n"/>
      <c r="O15" s="15" t="n"/>
      <c r="P15" s="15" t="n"/>
    </row>
  </sheetData>
  <autoFilter ref="A3:P15"/>
  <mergeCells count="2">
    <mergeCell ref="A1:P1"/>
    <mergeCell ref="A2:P2"/>
  </mergeCells>
  <conditionalFormatting sqref="M4:M15">
    <cfRule type="cellIs" priority="1" operator="equal" dxfId="0">
      <formula>"優先"</formula>
    </cfRule>
    <cfRule type="cellIs" priority="2" operator="equal" dxfId="1">
      <formula>"要検討"</formula>
    </cfRule>
    <cfRule type="cellIs" priority="3" operator="equal" dxfId="2">
      <formula>"除外"</formula>
    </cfRule>
    <cfRule type="cellIs" priority="4" operator="equal" dxfId="3">
      <formula>"見送り候補"</formula>
    </cfRule>
  </conditionalFormatting>
  <dataValidations count="8">
    <dataValidation sqref="C4:C15" showDropDown="0" showInputMessage="0" showErrorMessage="0" allowBlank="1" errorTitle="入力値" error="リストから選択してください" prompt="▼ から選択" type="list">
      <formula1>'選定基準・配点'!$B$21:$B$28</formula1>
    </dataValidation>
    <dataValidation sqref="G4:G15" showDropDown="0" showInputMessage="0" showErrorMessage="0" allowBlank="1" errorTitle="入力値" error="リストから選択してください" prompt="▼ から選択" type="list">
      <formula1>'選定基準・配点'!$B$30:$B$32</formula1>
    </dataValidation>
    <dataValidation sqref="H4:H15" showDropDown="0" showInputMessage="0" showErrorMessage="0" allowBlank="1" errorTitle="入力値" error="リストから選択してください" prompt="▼ から選択" type="list">
      <formula1>'選定基準・配点'!$B$34:$B$36</formula1>
    </dataValidation>
    <dataValidation sqref="I4:I15" showDropDown="0" showInputMessage="0" showErrorMessage="0" allowBlank="1" errorTitle="入力値" error="リストから選択してください" prompt="▼ から選択" type="list">
      <formula1>'選定基準・配点'!$B$38:$B$41</formula1>
    </dataValidation>
    <dataValidation sqref="J4:J15" showDropDown="0" showInputMessage="0" showErrorMessage="0" allowBlank="1" errorTitle="入力値" error="リストから選択してください" prompt="▼ から選択" type="list">
      <formula1>'選定基準・配点'!$B$50:$B$52</formula1>
    </dataValidation>
    <dataValidation sqref="K4:K15" showDropDown="0" showInputMessage="0" showErrorMessage="0" allowBlank="1" errorTitle="入力値" error="リストから選択してください" prompt="▼ から選択" type="list">
      <formula1>'選定基準・配点'!$B$43:$B$48</formula1>
    </dataValidation>
    <dataValidation sqref="F4:F15" showDropDown="0" showInputMessage="0" showErrorMessage="0" allowBlank="1" errorTitle="入力値" error="リストから選択してください" prompt="▼ から選択" type="list">
      <formula1>"オーナー,店長,施設長・園長,エリアマネージャー,その他"</formula1>
    </dataValidation>
    <dataValidation sqref="N4:N15" showDropDown="0" showInputMessage="0" showErrorMessage="0" allowBlank="1" errorTitle="入力値" error="リストから選択してください" prompt="▼ から選択" type="list">
      <formula1>"未接触,リスト化のみ,アプローチ済,返信あり,トップ受診済,商談,初回WS実施,見送り"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3D6"/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候補の出し方（人脈の棚卸しで10社を出す）</t>
        </is>
      </c>
    </row>
    <row r="2" ht="28" customHeight="1">
      <c r="A2" s="16" t="inlineStr">
        <is>
          <t>選定基準⑤「紹介経由でトップに直接届く」が最も配点が高い＝自分の人脈がいちばんのリード源。下の7つの問いで候補を洗い出し、『ターゲット10社リスト』に記入してスコアで上位10社に絞る。</t>
        </is>
      </c>
    </row>
    <row r="3" ht="28" customHeight="1">
      <c r="A3" s="17" t="inlineStr">
        <is>
          <t>逆算の目安：リスト10社 → アプローチ3〜5社（M2前半）→ 初回ワークショップ1〜2社（M2・試験価格可）→ 有償受注（M3・月利20万）。10社は在庫であり、全部に声をかけるわけではない。</t>
        </is>
      </c>
    </row>
    <row r="5" ht="22" customHeight="1">
      <c r="A5" s="18" t="inlineStr">
        <is>
          <t>■ 人脈の棚卸し：7つの問い（15分で書き出す）</t>
        </is>
      </c>
    </row>
    <row r="6" ht="26" customHeight="1">
      <c r="A6" s="3" t="inlineStr">
        <is>
          <t>#</t>
        </is>
      </c>
      <c r="B6" s="3" t="inlineStr">
        <is>
          <t>問い</t>
        </is>
      </c>
      <c r="C6" s="3" t="inlineStr">
        <is>
          <t>出やすい業種</t>
        </is>
      </c>
      <c r="D6" s="3" t="inlineStr">
        <is>
          <t>見つけた候補（メモ欄）</t>
        </is>
      </c>
    </row>
    <row r="7" ht="30" customHeight="1">
      <c r="A7" s="19" t="n">
        <v>1</v>
      </c>
      <c r="B7" s="20" t="inlineStr">
        <is>
          <t>この1ヶ月で客として行った店をすべて書き出す。顔見知りの店員・店長がいる店を優先</t>
        </is>
      </c>
      <c r="C7" s="20" t="inlineStr">
        <is>
          <t>美容室・飲食・カフェ・サロン</t>
        </is>
      </c>
      <c r="D7" s="20" t="inlineStr"/>
    </row>
    <row r="8" ht="30" customHeight="1">
      <c r="A8" s="21" t="n">
        <v>2</v>
      </c>
      <c r="B8" s="22" t="inlineStr">
        <is>
          <t>LINE・連絡先を上から眺めて、Tier1業種（接客・飲食・宿・美容・介護・保育・式場）で働いている知人を書き出す</t>
        </is>
      </c>
      <c r="C8" s="22" t="inlineStr">
        <is>
          <t>全業種</t>
        </is>
      </c>
      <c r="D8" s="22" t="inlineStr"/>
    </row>
    <row r="9" ht="30" customHeight="1">
      <c r="A9" s="19" t="n">
        <v>3</v>
      </c>
      <c r="B9" s="20" t="inlineStr">
        <is>
          <t>家族・親戚・ママ友パパ友のつながり：通っている保育園、利用中の介護施設、家族の行きつけ</t>
        </is>
      </c>
      <c r="C9" s="20" t="inlineStr">
        <is>
          <t>介護・保育</t>
        </is>
      </c>
      <c r="D9" s="20" t="inlineStr"/>
    </row>
    <row r="10" ht="30" customHeight="1">
      <c r="A10" s="21" t="n">
        <v>4</v>
      </c>
      <c r="B10" s="22" t="inlineStr">
        <is>
          <t>前職・取引先のつながりで、店舗・施設ビジネスに関わる人</t>
        </is>
      </c>
      <c r="C10" s="22" t="inlineStr">
        <is>
          <t>全業種</t>
        </is>
      </c>
      <c r="D10" s="22" t="inlineStr"/>
    </row>
    <row r="11" ht="30" customHeight="1">
      <c r="A11" s="19" t="n">
        <v>5</v>
      </c>
      <c r="B11" s="20" t="inlineStr">
        <is>
          <t>地元の商店会・経営者コミュニティ・マルシェ・イベントで名刺交換した人</t>
        </is>
      </c>
      <c r="C11" s="20" t="inlineStr">
        <is>
          <t>飲食・小売系</t>
        </is>
      </c>
      <c r="D11" s="20" t="inlineStr"/>
    </row>
    <row r="12" ht="30" customHeight="1">
      <c r="A12" s="21" t="n">
        <v>6</v>
      </c>
      <c r="B12" s="22" t="inlineStr">
        <is>
          <t>結婚式を挙げた／最近参列した式場の担当プランナー</t>
        </is>
      </c>
      <c r="C12" s="22" t="inlineStr">
        <is>
          <t>結婚式場</t>
        </is>
      </c>
      <c r="D12" s="22" t="inlineStr"/>
    </row>
    <row r="13" ht="30" customHeight="1">
      <c r="A13" s="19" t="n">
        <v>7</v>
      </c>
      <c r="B13" s="20" t="inlineStr">
        <is>
          <t>Instagram等で相互フォローの地元店舗（コールド寄りなので最後に）</t>
        </is>
      </c>
      <c r="C13" s="20" t="inlineStr">
        <is>
          <t>美容・飲食</t>
        </is>
      </c>
      <c r="D13" s="20" t="inlineStr"/>
    </row>
    <row r="15" ht="22" customHeight="1">
      <c r="A15" s="18" t="inlineStr">
        <is>
          <t>■ チャネル別の優先度（接点の配点と対応）</t>
        </is>
      </c>
    </row>
    <row r="16" ht="26" customHeight="1">
      <c r="A16" s="3" t="inlineStr">
        <is>
          <t>優先</t>
        </is>
      </c>
      <c r="B16" s="3" t="inlineStr">
        <is>
          <t>チャネル</t>
        </is>
      </c>
      <c r="C16" s="3" t="inlineStr">
        <is>
          <t>配点</t>
        </is>
      </c>
      <c r="D16" s="3" t="inlineStr">
        <is>
          <t>動き方</t>
        </is>
      </c>
    </row>
    <row r="17" ht="30" customHeight="1">
      <c r="A17" s="19" t="inlineStr">
        <is>
          <t>1</t>
        </is>
      </c>
      <c r="B17" s="20" t="inlineStr">
        <is>
          <t>紹介（トップ直）：顔見知りのオーナー・店長</t>
        </is>
      </c>
      <c r="C17" s="19" t="n">
        <v>3</v>
      </c>
      <c r="D17" s="20" t="inlineStr">
        <is>
          <t>最優先。自分から直接「まず1回受けてみて」と言える相手。声かけスクリプトのパターンA</t>
        </is>
      </c>
    </row>
    <row r="18" ht="30" customHeight="1">
      <c r="A18" s="21" t="inlineStr">
        <is>
          <t>2</t>
        </is>
      </c>
      <c r="B18" s="22" t="inlineStr">
        <is>
          <t>紹介（担当者）：知人スタッフ経由でトップへ</t>
        </is>
      </c>
      <c r="C18" s="21" t="n">
        <v>2</v>
      </c>
      <c r="D18" s="22" t="inlineStr">
        <is>
          <t>知人に転送1本を頼む（パターンB）。知人自身にも先に受診してもらうと推進者になる</t>
        </is>
      </c>
    </row>
    <row r="19" ht="30" customHeight="1">
      <c r="A19" s="19" t="inlineStr">
        <is>
          <t>3</t>
        </is>
      </c>
      <c r="B19" s="20" t="inlineStr">
        <is>
          <t>直接（コールド）・LinkedIn・イベント</t>
        </is>
      </c>
      <c r="C19" s="19" t="n">
        <v>1</v>
      </c>
      <c r="D19" s="20" t="inlineStr">
        <is>
          <t>リスト在庫として保持。M1では優先しない（Tier2と同じ扱い）</t>
        </is>
      </c>
    </row>
    <row r="21" ht="22" customHeight="1">
      <c r="A21" s="18" t="inlineStr">
        <is>
          <t>■ 現場での見極めのコツ（適合サイン・除外条件の実地版）</t>
        </is>
      </c>
    </row>
    <row r="22" ht="18" customHeight="1">
      <c r="A22" s="23" t="inlineStr">
        <is>
          <t>・店に行ったときのサイン：スタッフ同士の空気（ギスギス／よそよそしさ）、店長の疲れ顔、求人の貼り紙が出っぱなし＝痛みが顕在</t>
        </is>
      </c>
    </row>
    <row r="23" ht="18" customHeight="1">
      <c r="A23" s="23" t="inlineStr">
        <is>
          <t>・会話で「人が足りない」「新しい子がすぐ辞めた」が出たらメモ（離職・採用の痛み＝高）</t>
        </is>
      </c>
    </row>
    <row r="24" ht="46" customHeight="1">
      <c r="A24" s="23" t="inlineStr">
        <is>
          <t>・タイミー等のスポット人材が常時入っている店は除外（繁忙期だけの一時利用はOK。見分けは「いつ行っても知らない人がいる」か）</t>
        </is>
      </c>
    </row>
    <row r="25" ht="18" customHeight="1">
      <c r="A25" s="23" t="inlineStr">
        <is>
          <t>・従業員3名以下は痛みも原資も弱いので見送り（リストには入れず、口コミ元として大切に）</t>
        </is>
      </c>
    </row>
    <row r="26" ht="18" customHeight="1">
      <c r="A26" s="23" t="inlineStr">
        <is>
          <t>・トップが「うちは人を育てる」と語るか（長期雇用・育成志向＝強い のサイン）</t>
        </is>
      </c>
    </row>
  </sheetData>
  <mergeCells count="11">
    <mergeCell ref="A1:D1"/>
    <mergeCell ref="A5:D5"/>
    <mergeCell ref="A23:D23"/>
    <mergeCell ref="A22:D22"/>
    <mergeCell ref="A3:D3"/>
    <mergeCell ref="A21:D21"/>
    <mergeCell ref="A26:D26"/>
    <mergeCell ref="A15:D15"/>
    <mergeCell ref="A25:D25"/>
    <mergeCell ref="A24:D24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3D6"/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66" customWidth="1" min="2" max="2"/>
    <col width="40" customWidth="1" min="3" max="3"/>
  </cols>
  <sheetData>
    <row r="1">
      <c r="A1" s="1" t="inlineStr">
        <is>
          <t>声かけスクリプト（最初の依頼は「3分の診断を1回」だけ）</t>
        </is>
      </c>
    </row>
    <row r="2" ht="26" customHeight="1">
      <c r="A2" s="16" t="inlineStr">
        <is>
          <t>提案資料1枚のCTA「まず店長・オーナーご本人が1回受けてみてください」を会話に落としたもの。売るのは刺さった後。文面はLINE想定（対面ならそのまま話す）。</t>
        </is>
      </c>
    </row>
    <row r="4" ht="22" customHeight="1">
      <c r="A4" s="18" t="inlineStr">
        <is>
          <t>■ 共通の原則</t>
        </is>
      </c>
    </row>
    <row r="5" ht="18" customHeight="1">
      <c r="A5" s="23" t="inlineStr">
        <is>
          <t>1. 最初のお願いは診断1回のみ（小さなYES）。ワークショップの売り込みから入らない</t>
        </is>
      </c>
    </row>
    <row r="6" ht="18" customHeight="1">
      <c r="A6" s="23" t="inlineStr">
        <is>
          <t>2. 相手の言葉で話す：「辞めない・回るチーム」「ギスギスが接客に出る」。研修・組織開発などの言葉は使わない</t>
        </is>
      </c>
    </row>
    <row r="7" ht="18" customHeight="1">
      <c r="A7" s="23" t="inlineStr">
        <is>
          <t>3. 受診後に「当たってる」と言った人にだけ、次の15分（デモ商談）を提案する</t>
        </is>
      </c>
    </row>
    <row r="8" ht="18" customHeight="1">
      <c r="A8" s="23" t="inlineStr">
        <is>
          <t>4. 断られたら深追いせず次の候補へ。リストのステータスを更新して回す</t>
        </is>
      </c>
    </row>
    <row r="9" ht="18" customHeight="1">
      <c r="A9" s="23" t="inlineStr">
        <is>
          <t>5. 配布URLに ?ref=社名コード を付けて、どの会社経由の受診か回答ログで識別できるようにする（下の運用メモ）</t>
        </is>
      </c>
    </row>
    <row r="11" ht="22" customHeight="1">
      <c r="A11" s="18" t="inlineStr">
        <is>
          <t>■ パターンA：顔見知りのオーナー・店長へ直接</t>
        </is>
      </c>
    </row>
    <row r="12" ht="96" customHeight="1">
      <c r="A12" s="24" t="inlineStr">
        <is>
          <t>文面（コピペ用）</t>
        </is>
      </c>
      <c r="B12" s="25" t="inlineStr">
        <is>
          <t>◯◯さん、ちょっとお願いがあります。いま「人間関係タイプ診断」というものを作っていて、9問・3分で、力を抜いたときの自分の関わり方が8タイプで出ます。まずは◯◯さんに試しに受けてみてほしいです。
→（診断URL）?ref=社名コード
当たってるかどうか、率直な感想を聞かせてください。
（刺さったら）実はこれ、お店のみんなで受けると「誰と誰がどう噛み合うか」の地図まで作れます。スタッフの定着や雰囲気づくりに使えるので、よければ15分だけ内容を説明させてください。</t>
        </is>
      </c>
    </row>
    <row r="13" ht="30" customHeight="1">
      <c r="A13" s="24" t="inlineStr">
        <is>
          <t>ポイント</t>
        </is>
      </c>
      <c r="B13" s="26" t="inlineStr">
        <is>
          <t>診断の面白さで入る。ワークショップの話は相手が乗ってから。「当たってる！」の一言が商談の入口。感想が薄ければ深追いしない</t>
        </is>
      </c>
    </row>
    <row r="15" ht="22" customHeight="1">
      <c r="A15" s="18" t="inlineStr">
        <is>
          <t>■ パターンB：知人への紹介依頼（担当者経由でトップへ）</t>
        </is>
      </c>
    </row>
    <row r="16" ht="110" customHeight="1">
      <c r="A16" s="24" t="inlineStr">
        <is>
          <t>文面（コピペ用）</t>
        </is>
      </c>
      <c r="B16" s="25" t="inlineStr">
        <is>
          <t>◯◯って、たしか△△（店・施設）で働いてるよね。いま職場の人間関係を良くする仕事を始めていて、まず店長さん（オーナーさん）に3分の無料診断を受けてみてほしいんだ。よかったら下の文面をそのまま転送してもらえないかな。刺さらなかったらそれで終わりで大丈夫。
【転送用ミニ文面】
知人が人間関係のタイプ診断を作っています。9問3分・無料で、自然体の自分の関わり方が8タイプで出るものです。チームづくりにも使えるそうなので、よければ試してみてください。
→（診断URL）?ref=社名コード</t>
        </is>
      </c>
    </row>
    <row r="17" ht="30" customHeight="1">
      <c r="A17" s="24" t="inlineStr">
        <is>
          <t>ポイント</t>
        </is>
      </c>
      <c r="B17" s="26" t="inlineStr">
        <is>
          <t>紹介者の負担を最小に（転送1本で完了する文面を渡す）。紹介者自身にも先に受けてもらうと「当たる/話せる」体感で推進者になる（法人ポジショニング.md のチャンピオン）</t>
        </is>
      </c>
    </row>
    <row r="19" ht="22" customHeight="1">
      <c r="A19" s="18" t="inlineStr">
        <is>
          <t>■ パターンC：トップ受診後のフォロー → 15分デモ商談</t>
        </is>
      </c>
    </row>
    <row r="20" ht="70" customHeight="1">
      <c r="A20" s="24" t="inlineStr">
        <is>
          <t>文面（コピペ用）</t>
        </is>
      </c>
      <c r="B20" s="25" t="inlineStr">
        <is>
          <t>受けていただきありがとうございます。◯◯タイプ、いかがでしたか？（感想を聞く）
もし面白いと思っていただけたら、スタッフの皆さんにも受けてもらって「チームの相性マップ」を作る90分のワークショップをやっています。開店前や休業日にできます。まず15分だけ、内容を説明させてください。</t>
        </is>
      </c>
    </row>
    <row r="21" ht="30" customHeight="1">
      <c r="A21" s="24" t="inlineStr">
        <is>
          <t>ポイント</t>
        </is>
      </c>
      <c r="B21" s="26" t="inlineStr">
        <is>
          <t>感想を先に聞く（的中体験を本人の言葉にしてもらう）。ステータスを「トップ受診済」に更新。15分の場で提案資料1枚を見せ、日程は仮置きまで進める</t>
        </is>
      </c>
    </row>
    <row r="23" ht="22" customHeight="1">
      <c r="A23" s="18" t="inlineStr">
        <is>
          <t>■ パターンD：断られたときの引き際</t>
        </is>
      </c>
    </row>
    <row r="24" ht="34" customHeight="1">
      <c r="A24" s="24" t="inlineStr">
        <is>
          <t>文面（コピペ用）</t>
        </is>
      </c>
      <c r="B24" s="25" t="inlineStr">
        <is>
          <t>承知しました、ありがとうございます。もしスタッフの入れ替わりや雰囲気のことで困ることがあったら、いつでも声をかけてください。</t>
        </is>
      </c>
    </row>
    <row r="25" ht="30" customHeight="1">
      <c r="A25" s="24" t="inlineStr">
        <is>
          <t>ポイント</t>
        </is>
      </c>
      <c r="B25" s="26" t="inlineStr">
        <is>
          <t>ステータスを「見送り」にして次の候補へ。3ヶ月後に自然な接点（来店・近況）があれば再訪してよい。押した記録は残さない</t>
        </is>
      </c>
    </row>
    <row r="27" ht="22" customHeight="1">
      <c r="A27" s="18" t="inlineStr">
        <is>
          <t>■ URL運用メモ（?ref の挙動）</t>
        </is>
      </c>
    </row>
    <row r="28" ht="18" customHeight="1">
      <c r="A28" s="23" t="inlineStr">
        <is>
          <t>・診断URLは（要確定：公開URL）。index.html はクエリを引き継いで prototype.html にリダイレクトする</t>
        </is>
      </c>
    </row>
    <row r="29" ht="18" customHeight="1">
      <c r="A29" s="23" t="inlineStr">
        <is>
          <t>・?ref=社名コード を付けると、回答ログに紹介元として記録され「どの会社経由の受診か」を識別できる（例：?ref=cafeA）</t>
        </is>
      </c>
    </row>
    <row r="30" ht="30" customHeight="1">
      <c r="A30" s="23" t="inlineStr">
        <is>
          <t>・注意：?ref 付きは結果画面が紹介者向け（深掘り申込）表示に切り替わる仕様。検証アンケート表示のままにしたい場合は ?ref=cafeA&amp;mode=feedback と付ける</t>
        </is>
      </c>
    </row>
    <row r="31" ht="18" customHeight="1">
      <c r="A31" s="23" t="inlineStr">
        <is>
          <t>・法人文脈の結果画面出し分け（?ctx=）はM2〜M3で実装予定（文脈出し分け仕様.md）。それまでは上記で代用する</t>
        </is>
      </c>
    </row>
  </sheetData>
  <mergeCells count="25">
    <mergeCell ref="B16:C16"/>
    <mergeCell ref="B25:C25"/>
    <mergeCell ref="A27:C27"/>
    <mergeCell ref="A2:C2"/>
    <mergeCell ref="B12:C12"/>
    <mergeCell ref="B21:C21"/>
    <mergeCell ref="A5:C5"/>
    <mergeCell ref="A23:C23"/>
    <mergeCell ref="A8:C8"/>
    <mergeCell ref="B17:C17"/>
    <mergeCell ref="A29:C29"/>
    <mergeCell ref="A4:C4"/>
    <mergeCell ref="B13:C13"/>
    <mergeCell ref="A28:C28"/>
    <mergeCell ref="A19:C19"/>
    <mergeCell ref="A31:C31"/>
    <mergeCell ref="A9:C9"/>
    <mergeCell ref="A30:C30"/>
    <mergeCell ref="A15:C15"/>
    <mergeCell ref="B24:C24"/>
    <mergeCell ref="A11:C11"/>
    <mergeCell ref="A1:C1"/>
    <mergeCell ref="B20:C20"/>
    <mergeCell ref="A6:C6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8F88"/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8" customWidth="1" min="3" max="3"/>
  </cols>
  <sheetData>
    <row r="1">
      <c r="A1" s="1" t="inlineStr">
        <is>
          <t>ターゲット法人10社リスト｜選定基準・配点表</t>
        </is>
      </c>
    </row>
    <row r="2">
      <c r="A2" s="2" t="inlineStr">
        <is>
          <t>出所：法人ポジショニング.md(1.ペルソナ／適合サイン・除外条件・選定マトリクス)</t>
        </is>
      </c>
    </row>
    <row r="4">
      <c r="A4" s="27" t="inlineStr">
        <is>
          <t>■ 適合サイン（優先して入れる）</t>
        </is>
      </c>
    </row>
    <row r="5">
      <c r="A5" t="inlineStr">
        <is>
          <t>① Tier1業種：接客・飲食・宿・美容・介護・保育・式場（関係の質が接客品質と定着に直結）</t>
        </is>
      </c>
    </row>
    <row r="6">
      <c r="A6" t="inlineStr">
        <is>
          <t>② 5〜15名で、オーナー／店長／施設長が即決できる（1店舗・1施設で意思決定が完結）</t>
        </is>
      </c>
    </row>
    <row r="7">
      <c r="A7" t="inlineStr">
        <is>
          <t>③ 離職・採用難などの痛みが顕在（辞める・採用が追いつかない・ギスギス）</t>
        </is>
      </c>
    </row>
    <row r="8">
      <c r="A8" t="inlineStr">
        <is>
          <t>④ トップが長期雇用・育成志向（定着させたい意思がある）</t>
        </is>
      </c>
    </row>
    <row r="9">
      <c r="A9" t="inlineStr">
        <is>
          <t>⑤ 紹介経由でトップに直接届く接点がある</t>
        </is>
      </c>
    </row>
    <row r="11">
      <c r="A11" s="28" t="inlineStr">
        <is>
          <t>■ 除外条件（初期リストに入れない）</t>
        </is>
      </c>
    </row>
    <row r="12">
      <c r="A12" t="inlineStr">
        <is>
          <t>・スポットワーク／ギグ系（タイミー等）に恒常依存し、短期・入れ替わり前提で回している先</t>
        </is>
      </c>
    </row>
    <row r="13">
      <c r="A13" s="2" t="inlineStr">
        <is>
          <t xml:space="preserve">　注：繁忙期の一時利用まで除外しない。外すのは“依存”しているケース。</t>
        </is>
      </c>
    </row>
    <row r="15">
      <c r="A15" s="27" t="inlineStr">
        <is>
          <t>■ 優先度スコアの見方（自動計算）</t>
        </is>
      </c>
    </row>
    <row r="16">
      <c r="A16" t="inlineStr">
        <is>
          <t>12点以上＝優先／8〜11点＝要検討／7点以下＝見送り候補／スポットワーク恒常依存＝除外</t>
        </is>
      </c>
    </row>
    <row r="17">
      <c r="A17" s="2" t="inlineStr">
        <is>
          <t>満点17点＝業種3＋規模2＋即決3＋痛み3＋育成志向3＋接点3</t>
        </is>
      </c>
    </row>
    <row r="19">
      <c r="A19" s="27" t="inlineStr">
        <is>
          <t>■ 配点表（この表の数値を編集すると各行のスコアに反映されます）</t>
        </is>
      </c>
    </row>
    <row r="20">
      <c r="A20" s="29" t="inlineStr">
        <is>
          <t>項目</t>
        </is>
      </c>
      <c r="B20" s="29" t="inlineStr">
        <is>
          <t>選択肢</t>
        </is>
      </c>
      <c r="C20" s="29" t="inlineStr">
        <is>
          <t>配点</t>
        </is>
      </c>
    </row>
    <row r="21">
      <c r="A21" s="30" t="inlineStr">
        <is>
          <t>業種（Tier1）</t>
        </is>
      </c>
      <c r="B21" s="31" t="inlineStr">
        <is>
          <t>飲食・カフェ</t>
        </is>
      </c>
      <c r="C21" s="10" t="n">
        <v>3</v>
      </c>
    </row>
    <row r="22">
      <c r="A22" s="31" t="n"/>
      <c r="B22" s="31" t="inlineStr">
        <is>
          <t>美容室・サロン</t>
        </is>
      </c>
      <c r="C22" s="10" t="n">
        <v>3</v>
      </c>
    </row>
    <row r="23">
      <c r="A23" s="31" t="n"/>
      <c r="B23" s="31" t="inlineStr">
        <is>
          <t>小規模宿</t>
        </is>
      </c>
      <c r="C23" s="10" t="n">
        <v>3</v>
      </c>
    </row>
    <row r="24">
      <c r="A24" s="31" t="n"/>
      <c r="B24" s="31" t="inlineStr">
        <is>
          <t>介護・保育</t>
        </is>
      </c>
      <c r="C24" s="10" t="n">
        <v>3</v>
      </c>
    </row>
    <row r="25">
      <c r="A25" s="31" t="n"/>
      <c r="B25" s="31" t="inlineStr">
        <is>
          <t>結婚式場</t>
        </is>
      </c>
      <c r="C25" s="10" t="n">
        <v>3</v>
      </c>
    </row>
    <row r="26">
      <c r="A26" s="31" t="n"/>
      <c r="B26" s="31" t="inlineStr">
        <is>
          <t>その他Tier1</t>
        </is>
      </c>
      <c r="C26" s="10" t="n">
        <v>2</v>
      </c>
    </row>
    <row r="27">
      <c r="A27" s="31" t="n"/>
      <c r="B27" s="31" t="inlineStr">
        <is>
          <t>Tier2（多店舗・宴会等）</t>
        </is>
      </c>
      <c r="C27" s="10" t="n">
        <v>1</v>
      </c>
    </row>
    <row r="28">
      <c r="A28" s="31" t="n"/>
      <c r="B28" s="31" t="inlineStr">
        <is>
          <t>対象外</t>
        </is>
      </c>
      <c r="C28" s="10" t="n">
        <v>0</v>
      </c>
    </row>
    <row r="30">
      <c r="A30" s="30" t="inlineStr">
        <is>
          <t>即決度</t>
        </is>
      </c>
      <c r="B30" s="31" t="inlineStr">
        <is>
          <t>即決可（トップ即決）</t>
        </is>
      </c>
      <c r="C30" s="10" t="n">
        <v>3</v>
      </c>
    </row>
    <row r="31">
      <c r="A31" s="31" t="n"/>
      <c r="B31" s="31" t="inlineStr">
        <is>
          <t>一部稟議</t>
        </is>
      </c>
      <c r="C31" s="10" t="n">
        <v>1</v>
      </c>
    </row>
    <row r="32">
      <c r="A32" s="31" t="n"/>
      <c r="B32" s="31" t="inlineStr">
        <is>
          <t>稟議必要</t>
        </is>
      </c>
      <c r="C32" s="10" t="n">
        <v>0</v>
      </c>
    </row>
    <row r="34">
      <c r="A34" s="30" t="inlineStr">
        <is>
          <t>離職・採用の痛み</t>
        </is>
      </c>
      <c r="B34" s="31" t="inlineStr">
        <is>
          <t>高（顕在）</t>
        </is>
      </c>
      <c r="C34" s="10" t="n">
        <v>3</v>
      </c>
    </row>
    <row r="35">
      <c r="A35" s="31" t="n"/>
      <c r="B35" s="31" t="inlineStr">
        <is>
          <t>中</t>
        </is>
      </c>
      <c r="C35" s="10" t="n">
        <v>2</v>
      </c>
    </row>
    <row r="36">
      <c r="A36" s="31" t="n"/>
      <c r="B36" s="31" t="inlineStr">
        <is>
          <t>低</t>
        </is>
      </c>
      <c r="C36" s="10" t="n">
        <v>0</v>
      </c>
    </row>
    <row r="38">
      <c r="A38" s="30" t="inlineStr">
        <is>
          <t>長期雇用・育成志向</t>
        </is>
      </c>
      <c r="B38" s="31" t="inlineStr">
        <is>
          <t>強い</t>
        </is>
      </c>
      <c r="C38" s="10" t="n">
        <v>3</v>
      </c>
    </row>
    <row r="39">
      <c r="A39" s="31" t="n"/>
      <c r="B39" s="31" t="inlineStr">
        <is>
          <t>普通</t>
        </is>
      </c>
      <c r="C39" s="10" t="n">
        <v>1</v>
      </c>
    </row>
    <row r="40">
      <c r="A40" s="31" t="n"/>
      <c r="B40" s="31" t="inlineStr">
        <is>
          <t>弱い</t>
        </is>
      </c>
      <c r="C40" s="10" t="n">
        <v>0</v>
      </c>
    </row>
    <row r="41">
      <c r="A41" s="31" t="n"/>
      <c r="B41" s="31" t="inlineStr">
        <is>
          <t>不明</t>
        </is>
      </c>
      <c r="C41" s="10" t="n">
        <v>0</v>
      </c>
    </row>
    <row r="43">
      <c r="A43" s="30" t="inlineStr">
        <is>
          <t>接点（経路）</t>
        </is>
      </c>
      <c r="B43" s="31" t="inlineStr">
        <is>
          <t>紹介（トップ直）</t>
        </is>
      </c>
      <c r="C43" s="10" t="n">
        <v>3</v>
      </c>
    </row>
    <row r="44">
      <c r="A44" s="31" t="n"/>
      <c r="B44" s="31" t="inlineStr">
        <is>
          <t>紹介（担当者）</t>
        </is>
      </c>
      <c r="C44" s="10" t="n">
        <v>2</v>
      </c>
    </row>
    <row r="45">
      <c r="A45" s="31" t="n"/>
      <c r="B45" s="31" t="inlineStr">
        <is>
          <t>直接（コールド）</t>
        </is>
      </c>
      <c r="C45" s="10" t="n">
        <v>1</v>
      </c>
    </row>
    <row r="46">
      <c r="A46" s="31" t="n"/>
      <c r="B46" s="31" t="inlineStr">
        <is>
          <t>LinkedIn</t>
        </is>
      </c>
      <c r="C46" s="10" t="n">
        <v>1</v>
      </c>
    </row>
    <row r="47">
      <c r="A47" s="31" t="n"/>
      <c r="B47" s="31" t="inlineStr">
        <is>
          <t>イベント・交流会</t>
        </is>
      </c>
      <c r="C47" s="10" t="n">
        <v>1</v>
      </c>
    </row>
    <row r="48">
      <c r="A48" s="31" t="n"/>
      <c r="B48" s="31" t="inlineStr">
        <is>
          <t>不明</t>
        </is>
      </c>
      <c r="C48" s="10" t="n">
        <v>0</v>
      </c>
    </row>
    <row r="50">
      <c r="A50" s="30" t="inlineStr">
        <is>
          <t>スポットワーク依存</t>
        </is>
      </c>
      <c r="B50" s="31" t="inlineStr">
        <is>
          <t>なし</t>
        </is>
      </c>
      <c r="C50" s="31" t="n"/>
    </row>
    <row r="51">
      <c r="A51" s="31" t="n"/>
      <c r="B51" s="31" t="inlineStr">
        <is>
          <t>一時的のみ</t>
        </is>
      </c>
      <c r="C51" s="31" t="n"/>
    </row>
    <row r="52">
      <c r="A52" s="31" t="n"/>
      <c r="B52" s="31" t="inlineStr">
        <is>
          <t>恒常依存（除外）</t>
        </is>
      </c>
      <c r="C52" s="3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2026-07-04T07:11:49Z</dcterms:created>
  <dcterms:modified xsi:type="dcterms:W3CDTF">2026-07-04T07:11:49Z</dcterms:modified>
</cp:coreProperties>
</file>