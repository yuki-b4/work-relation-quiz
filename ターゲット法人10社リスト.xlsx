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ターゲット10社リスト" sheetId="1" state="visible" r:id="rId1"/>
    <sheet name="選定基準・配点" sheetId="2" state="visible" r:id="rId2"/>
  </sheets>
  <definedNames>
    <definedName name="_xlnm._FilterDatabase" localSheetId="0" hidden="1">'ターゲット10社リスト'!$A$3:$P$15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E3A46"/>
      <sz val="14"/>
    </font>
    <font>
      <color rgb="006B7A87"/>
      <sz val="9"/>
    </font>
    <font>
      <b val="1"/>
      <color rgb="002F8F88"/>
      <sz val="11"/>
    </font>
    <font>
      <b val="1"/>
      <color rgb="00B23A22"/>
      <sz val="11"/>
    </font>
    <font>
      <b val="1"/>
      <color rgb="00FFFFFF"/>
      <sz val="11"/>
    </font>
    <font>
      <b val="1"/>
      <color rgb="002E3A46"/>
      <sz val="11"/>
    </font>
    <font>
      <b val="1"/>
      <color rgb="00FFFFFF"/>
      <sz val="10"/>
    </font>
    <font>
      <i val="1"/>
      <color rgb="006B7A87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2F8F88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7D0D8"/>
      </left>
      <right style="thin">
        <color rgb="00C7D0D8"/>
      </right>
      <top style="thin">
        <color rgb="00C7D0D8"/>
      </top>
      <bottom style="thin">
        <color rgb="00C7D0D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/>
    </xf>
    <xf numFmtId="1" fontId="8" fillId="3" borderId="1" applyAlignment="1" pivotButton="0" quotePrefix="0" xfId="0">
      <alignment vertical="center"/>
    </xf>
    <xf numFmtId="1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4">
    <dxf>
      <font>
        <b val="1"/>
        <color rgb="001E6B64"/>
      </font>
      <fill>
        <patternFill patternType="solid">
          <fgColor rgb="00C9E7E3"/>
        </patternFill>
      </fill>
    </dxf>
    <dxf>
      <font>
        <b val="1"/>
        <color rgb="008A6D1B"/>
      </font>
      <fill>
        <patternFill patternType="solid">
          <fgColor rgb="00FFF3D6"/>
        </patternFill>
      </fill>
    </dxf>
    <dxf>
      <font>
        <b val="1"/>
        <color rgb="00B23A22"/>
      </font>
      <fill>
        <patternFill patternType="solid">
          <fgColor rgb="00FBE7E1"/>
        </patternFill>
      </fill>
    </dxf>
    <dxf>
      <font>
        <color rgb="006B7A87"/>
      </font>
      <fill>
        <patternFill patternType="solid">
          <fgColor rgb="00EEF1F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8F88"/>
    <outlinePr summaryBelow="1" summaryRight="1"/>
    <pageSetUpPr/>
  </sheetPr>
  <dimension ref="A1:P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2" customWidth="1" min="4" max="4"/>
    <col width="7" customWidth="1" min="5" max="5"/>
    <col width="12" customWidth="1" min="6" max="6"/>
    <col width="16" customWidth="1" min="7" max="7"/>
    <col width="11" customWidth="1" min="8" max="8"/>
    <col width="10" customWidth="1" min="9" max="9"/>
    <col width="12" customWidth="1" min="10" max="10"/>
    <col width="15" customWidth="1" min="11" max="11"/>
    <col width="8" customWidth="1" min="12" max="12"/>
    <col width="9" customWidth="1" min="13" max="13"/>
    <col width="12" customWidth="1" min="14" max="14"/>
    <col width="26" customWidth="1" min="15" max="15"/>
    <col width="24" customWidth="1" min="16" max="16"/>
  </cols>
  <sheetData>
    <row r="1">
      <c r="A1" s="1" t="inlineStr">
        <is>
          <t>ターゲット法人10社リスト（90日WBS M1／W2）</t>
        </is>
      </c>
    </row>
    <row r="2">
      <c r="A2" s="2" t="inlineStr">
        <is>
          <t>会社名を入れると『優先度スコア』『判定』が自動計算されます。選定基準・配点は右のシート参照。※社名・数値は記入例。実データに置換してください。</t>
        </is>
      </c>
    </row>
    <row r="3" ht="34" customHeight="1">
      <c r="A3" s="3" t="inlineStr">
        <is>
          <t>No.</t>
        </is>
      </c>
      <c r="B3" s="3" t="inlineStr">
        <is>
          <t>会社／店舗名</t>
        </is>
      </c>
      <c r="C3" s="3" t="inlineStr">
        <is>
          <t>業種（Tier1）</t>
        </is>
      </c>
      <c r="D3" s="3" t="inlineStr">
        <is>
          <t>所在地</t>
        </is>
      </c>
      <c r="E3" s="3" t="inlineStr">
        <is>
          <t>規模
(人数)</t>
        </is>
      </c>
      <c r="F3" s="3" t="inlineStr">
        <is>
          <t>決裁者
(役割)</t>
        </is>
      </c>
      <c r="G3" s="3" t="inlineStr">
        <is>
          <t>即決度</t>
        </is>
      </c>
      <c r="H3" s="3" t="inlineStr">
        <is>
          <t>離職・採用
の痛み</t>
        </is>
      </c>
      <c r="I3" s="3" t="inlineStr">
        <is>
          <t>長期雇用
育成志向</t>
        </is>
      </c>
      <c r="J3" s="3" t="inlineStr">
        <is>
          <t>スポット
ワーク依存</t>
        </is>
      </c>
      <c r="K3" s="3" t="inlineStr">
        <is>
          <t>接点（経路）</t>
        </is>
      </c>
      <c r="L3" s="3" t="inlineStr">
        <is>
          <t>優先度
スコア</t>
        </is>
      </c>
      <c r="M3" s="3" t="inlineStr">
        <is>
          <t>判定</t>
        </is>
      </c>
      <c r="N3" s="3" t="inlineStr">
        <is>
          <t>ステータス</t>
        </is>
      </c>
      <c r="O3" s="3" t="inlineStr">
        <is>
          <t>次アクション</t>
        </is>
      </c>
      <c r="P3" s="3" t="inlineStr">
        <is>
          <t>メモ</t>
        </is>
      </c>
    </row>
    <row r="4">
      <c r="A4" s="4" t="inlineStr">
        <is>
          <t>例</t>
        </is>
      </c>
      <c r="B4" s="5" t="inlineStr">
        <is>
          <t>（例）海辺のカフェ A店</t>
        </is>
      </c>
      <c r="C4" s="5" t="inlineStr">
        <is>
          <t>飲食・カフェ</t>
        </is>
      </c>
      <c r="D4" s="5" t="inlineStr">
        <is>
          <t>神奈川・鎌倉</t>
        </is>
      </c>
      <c r="E4" s="6" t="n">
        <v>8</v>
      </c>
      <c r="F4" s="5" t="inlineStr">
        <is>
          <t>オーナー</t>
        </is>
      </c>
      <c r="G4" s="5" t="inlineStr">
        <is>
          <t>即決可（トップ即決）</t>
        </is>
      </c>
      <c r="H4" s="5" t="inlineStr">
        <is>
          <t>高（顕在）</t>
        </is>
      </c>
      <c r="I4" s="5" t="inlineStr">
        <is>
          <t>強い</t>
        </is>
      </c>
      <c r="J4" s="5" t="inlineStr">
        <is>
          <t>なし</t>
        </is>
      </c>
      <c r="K4" s="5" t="inlineStr">
        <is>
          <t>紹介（トップ直）</t>
        </is>
      </c>
      <c r="L4" s="7">
        <f>IF($B4="","",IFERROR(VLOOKUP($C4,'選定基準・配点'!$B$21:$C$28,2,FALSE),0)+IF($E4="",0,IF(AND($E4&gt;=5,$E4&lt;=15),2,IF(OR(AND($E4&gt;=3,$E4&lt;=4),AND($E4&gt;=16,$E4&lt;=25)),1,0)))+IFERROR(VLOOKUP($G4,'選定基準・配点'!$B$30:$C$32,2,FALSE),0)+IFERROR(VLOOKUP($H4,'選定基準・配点'!$B$34:$C$36,2,FALSE),0)+IFERROR(VLOOKUP($I4,'選定基準・配点'!$B$38:$C$41,2,FALSE),0)+IFERROR(VLOOKUP($K4,'選定基準・配点'!$B$43:$C$48,2,FALSE),0))</f>
        <v/>
      </c>
      <c r="M4" s="8">
        <f>IF($B4="","",IF($J4="恒常依存（除外）","除外",IF($L4&gt;=12,"優先",IF($L4&gt;=8,"要検討","見送り候補"))))</f>
        <v/>
      </c>
      <c r="N4" s="5" t="inlineStr">
        <is>
          <t>未接触</t>
        </is>
      </c>
      <c r="O4" s="9" t="inlineStr">
        <is>
          <t>紹介者経由でオーナーに1回受診を打診</t>
        </is>
      </c>
      <c r="P4" s="9" t="inlineStr">
        <is>
          <t>接客中心・繁忙期の定着に課題</t>
        </is>
      </c>
    </row>
    <row r="5">
      <c r="A5" s="4" t="inlineStr">
        <is>
          <t>例</t>
        </is>
      </c>
      <c r="B5" s="5" t="inlineStr">
        <is>
          <t>（例）Bダイニング（多店舗）</t>
        </is>
      </c>
      <c r="C5" s="5" t="inlineStr">
        <is>
          <t>飲食・カフェ</t>
        </is>
      </c>
      <c r="D5" s="5" t="inlineStr">
        <is>
          <t>東京・都内</t>
        </is>
      </c>
      <c r="E5" s="6" t="n">
        <v>40</v>
      </c>
      <c r="F5" s="5" t="inlineStr">
        <is>
          <t>エリアマネージャー</t>
        </is>
      </c>
      <c r="G5" s="5" t="inlineStr">
        <is>
          <t>稟議必要</t>
        </is>
      </c>
      <c r="H5" s="5" t="inlineStr">
        <is>
          <t>中</t>
        </is>
      </c>
      <c r="I5" s="5" t="inlineStr">
        <is>
          <t>不明</t>
        </is>
      </c>
      <c r="J5" s="5" t="inlineStr">
        <is>
          <t>恒常依存（除外）</t>
        </is>
      </c>
      <c r="K5" s="5" t="inlineStr">
        <is>
          <t>直接（コールド）</t>
        </is>
      </c>
      <c r="L5" s="7">
        <f>IF($B5="","",IFERROR(VLOOKUP($C5,'選定基準・配点'!$B$21:$C$28,2,FALSE),0)+IF($E5="",0,IF(AND($E5&gt;=5,$E5&lt;=15),2,IF(OR(AND($E5&gt;=3,$E5&lt;=4),AND($E5&gt;=16,$E5&lt;=25)),1,0)))+IFERROR(VLOOKUP($G5,'選定基準・配点'!$B$30:$C$32,2,FALSE),0)+IFERROR(VLOOKUP($H5,'選定基準・配点'!$B$34:$C$36,2,FALSE),0)+IFERROR(VLOOKUP($I5,'選定基準・配点'!$B$38:$C$41,2,FALSE),0)+IFERROR(VLOOKUP($K5,'選定基準・配点'!$B$43:$C$48,2,FALSE),0))</f>
        <v/>
      </c>
      <c r="M5" s="8">
        <f>IF($B5="","",IF($J5="恒常依存（除外）","除外",IF($L5&gt;=12,"優先",IF($L5&gt;=8,"要検討","見送り候補"))))</f>
        <v/>
      </c>
      <c r="N5" s="5" t="inlineStr">
        <is>
          <t>見送り</t>
        </is>
      </c>
      <c r="O5" s="9" t="inlineStr">
        <is>
          <t>初期リストからは外す（スポットワーク恒常依存）</t>
        </is>
      </c>
      <c r="P5" s="9" t="inlineStr">
        <is>
          <t>除外条件に該当の例</t>
        </is>
      </c>
    </row>
    <row r="6">
      <c r="A6" s="10" t="n">
        <v>1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3">
        <f>IF($B6="","",IFERROR(VLOOKUP($C6,'選定基準・配点'!$B$21:$C$28,2,FALSE),0)+IF($E6="",0,IF(AND($E6&gt;=5,$E6&lt;=15),2,IF(OR(AND($E6&gt;=3,$E6&lt;=4),AND($E6&gt;=16,$E6&lt;=25)),1,0)))+IFERROR(VLOOKUP($G6,'選定基準・配点'!$B$30:$C$32,2,FALSE),0)+IFERROR(VLOOKUP($H6,'選定基準・配点'!$B$34:$C$36,2,FALSE),0)+IFERROR(VLOOKUP($I6,'選定基準・配点'!$B$38:$C$41,2,FALSE),0)+IFERROR(VLOOKUP($K6,'選定基準・配点'!$B$43:$C$48,2,FALSE),0))</f>
        <v/>
      </c>
      <c r="M6" s="14">
        <f>IF($B6="","",IF($J6="恒常依存（除外）","除外",IF($L6&gt;=12,"優先",IF($L6&gt;=8,"要検討","見送り候補"))))</f>
        <v/>
      </c>
      <c r="N6" s="11" t="n"/>
      <c r="O6" s="15" t="n"/>
      <c r="P6" s="15" t="n"/>
    </row>
    <row r="7">
      <c r="A7" s="10" t="n">
        <v>2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3">
        <f>IF($B7="","",IFERROR(VLOOKUP($C7,'選定基準・配点'!$B$21:$C$28,2,FALSE),0)+IF($E7="",0,IF(AND($E7&gt;=5,$E7&lt;=15),2,IF(OR(AND($E7&gt;=3,$E7&lt;=4),AND($E7&gt;=16,$E7&lt;=25)),1,0)))+IFERROR(VLOOKUP($G7,'選定基準・配点'!$B$30:$C$32,2,FALSE),0)+IFERROR(VLOOKUP($H7,'選定基準・配点'!$B$34:$C$36,2,FALSE),0)+IFERROR(VLOOKUP($I7,'選定基準・配点'!$B$38:$C$41,2,FALSE),0)+IFERROR(VLOOKUP($K7,'選定基準・配点'!$B$43:$C$48,2,FALSE),0))</f>
        <v/>
      </c>
      <c r="M7" s="14">
        <f>IF($B7="","",IF($J7="恒常依存（除外）","除外",IF($L7&gt;=12,"優先",IF($L7&gt;=8,"要検討","見送り候補"))))</f>
        <v/>
      </c>
      <c r="N7" s="11" t="n"/>
      <c r="O7" s="15" t="n"/>
      <c r="P7" s="15" t="n"/>
    </row>
    <row r="8">
      <c r="A8" s="10" t="n">
        <v>3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3">
        <f>IF($B8="","",IFERROR(VLOOKUP($C8,'選定基準・配点'!$B$21:$C$28,2,FALSE),0)+IF($E8="",0,IF(AND($E8&gt;=5,$E8&lt;=15),2,IF(OR(AND($E8&gt;=3,$E8&lt;=4),AND($E8&gt;=16,$E8&lt;=25)),1,0)))+IFERROR(VLOOKUP($G8,'選定基準・配点'!$B$30:$C$32,2,FALSE),0)+IFERROR(VLOOKUP($H8,'選定基準・配点'!$B$34:$C$36,2,FALSE),0)+IFERROR(VLOOKUP($I8,'選定基準・配点'!$B$38:$C$41,2,FALSE),0)+IFERROR(VLOOKUP($K8,'選定基準・配点'!$B$43:$C$48,2,FALSE),0))</f>
        <v/>
      </c>
      <c r="M8" s="14">
        <f>IF($B8="","",IF($J8="恒常依存（除外）","除外",IF($L8&gt;=12,"優先",IF($L8&gt;=8,"要検討","見送り候補"))))</f>
        <v/>
      </c>
      <c r="N8" s="11" t="n"/>
      <c r="O8" s="15" t="n"/>
      <c r="P8" s="15" t="n"/>
    </row>
    <row r="9">
      <c r="A9" s="10" t="n">
        <v>4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3">
        <f>IF($B9="","",IFERROR(VLOOKUP($C9,'選定基準・配点'!$B$21:$C$28,2,FALSE),0)+IF($E9="",0,IF(AND($E9&gt;=5,$E9&lt;=15),2,IF(OR(AND($E9&gt;=3,$E9&lt;=4),AND($E9&gt;=16,$E9&lt;=25)),1,0)))+IFERROR(VLOOKUP($G9,'選定基準・配点'!$B$30:$C$32,2,FALSE),0)+IFERROR(VLOOKUP($H9,'選定基準・配点'!$B$34:$C$36,2,FALSE),0)+IFERROR(VLOOKUP($I9,'選定基準・配点'!$B$38:$C$41,2,FALSE),0)+IFERROR(VLOOKUP($K9,'選定基準・配点'!$B$43:$C$48,2,FALSE),0))</f>
        <v/>
      </c>
      <c r="M9" s="14">
        <f>IF($B9="","",IF($J9="恒常依存（除外）","除外",IF($L9&gt;=12,"優先",IF($L9&gt;=8,"要検討","見送り候補"))))</f>
        <v/>
      </c>
      <c r="N9" s="11" t="n"/>
      <c r="O9" s="15" t="n"/>
      <c r="P9" s="15" t="n"/>
    </row>
    <row r="10">
      <c r="A10" s="10" t="n">
        <v>5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3">
        <f>IF($B10="","",IFERROR(VLOOKUP($C10,'選定基準・配点'!$B$21:$C$28,2,FALSE),0)+IF($E10="",0,IF(AND($E10&gt;=5,$E10&lt;=15),2,IF(OR(AND($E10&gt;=3,$E10&lt;=4),AND($E10&gt;=16,$E10&lt;=25)),1,0)))+IFERROR(VLOOKUP($G10,'選定基準・配点'!$B$30:$C$32,2,FALSE),0)+IFERROR(VLOOKUP($H10,'選定基準・配点'!$B$34:$C$36,2,FALSE),0)+IFERROR(VLOOKUP($I10,'選定基準・配点'!$B$38:$C$41,2,FALSE),0)+IFERROR(VLOOKUP($K10,'選定基準・配点'!$B$43:$C$48,2,FALSE),0))</f>
        <v/>
      </c>
      <c r="M10" s="14">
        <f>IF($B10="","",IF($J10="恒常依存（除外）","除外",IF($L10&gt;=12,"優先",IF($L10&gt;=8,"要検討","見送り候補"))))</f>
        <v/>
      </c>
      <c r="N10" s="11" t="n"/>
      <c r="O10" s="15" t="n"/>
      <c r="P10" s="15" t="n"/>
    </row>
    <row r="11">
      <c r="A11" s="10" t="n">
        <v>6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3">
        <f>IF($B11="","",IFERROR(VLOOKUP($C11,'選定基準・配点'!$B$21:$C$28,2,FALSE),0)+IF($E11="",0,IF(AND($E11&gt;=5,$E11&lt;=15),2,IF(OR(AND($E11&gt;=3,$E11&lt;=4),AND($E11&gt;=16,$E11&lt;=25)),1,0)))+IFERROR(VLOOKUP($G11,'選定基準・配点'!$B$30:$C$32,2,FALSE),0)+IFERROR(VLOOKUP($H11,'選定基準・配点'!$B$34:$C$36,2,FALSE),0)+IFERROR(VLOOKUP($I11,'選定基準・配点'!$B$38:$C$41,2,FALSE),0)+IFERROR(VLOOKUP($K11,'選定基準・配点'!$B$43:$C$48,2,FALSE),0))</f>
        <v/>
      </c>
      <c r="M11" s="14">
        <f>IF($B11="","",IF($J11="恒常依存（除外）","除外",IF($L11&gt;=12,"優先",IF($L11&gt;=8,"要検討","見送り候補"))))</f>
        <v/>
      </c>
      <c r="N11" s="11" t="n"/>
      <c r="O11" s="15" t="n"/>
      <c r="P11" s="15" t="n"/>
    </row>
    <row r="12">
      <c r="A12" s="10" t="n">
        <v>7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3">
        <f>IF($B12="","",IFERROR(VLOOKUP($C12,'選定基準・配点'!$B$21:$C$28,2,FALSE),0)+IF($E12="",0,IF(AND($E12&gt;=5,$E12&lt;=15),2,IF(OR(AND($E12&gt;=3,$E12&lt;=4),AND($E12&gt;=16,$E12&lt;=25)),1,0)))+IFERROR(VLOOKUP($G12,'選定基準・配点'!$B$30:$C$32,2,FALSE),0)+IFERROR(VLOOKUP($H12,'選定基準・配点'!$B$34:$C$36,2,FALSE),0)+IFERROR(VLOOKUP($I12,'選定基準・配点'!$B$38:$C$41,2,FALSE),0)+IFERROR(VLOOKUP($K12,'選定基準・配点'!$B$43:$C$48,2,FALSE),0))</f>
        <v/>
      </c>
      <c r="M12" s="14">
        <f>IF($B12="","",IF($J12="恒常依存（除外）","除外",IF($L12&gt;=12,"優先",IF($L12&gt;=8,"要検討","見送り候補"))))</f>
        <v/>
      </c>
      <c r="N12" s="11" t="n"/>
      <c r="O12" s="15" t="n"/>
      <c r="P12" s="15" t="n"/>
    </row>
    <row r="13">
      <c r="A13" s="10" t="n">
        <v>8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3">
        <f>IF($B13="","",IFERROR(VLOOKUP($C13,'選定基準・配点'!$B$21:$C$28,2,FALSE),0)+IF($E13="",0,IF(AND($E13&gt;=5,$E13&lt;=15),2,IF(OR(AND($E13&gt;=3,$E13&lt;=4),AND($E13&gt;=16,$E13&lt;=25)),1,0)))+IFERROR(VLOOKUP($G13,'選定基準・配点'!$B$30:$C$32,2,FALSE),0)+IFERROR(VLOOKUP($H13,'選定基準・配点'!$B$34:$C$36,2,FALSE),0)+IFERROR(VLOOKUP($I13,'選定基準・配点'!$B$38:$C$41,2,FALSE),0)+IFERROR(VLOOKUP($K13,'選定基準・配点'!$B$43:$C$48,2,FALSE),0))</f>
        <v/>
      </c>
      <c r="M13" s="14">
        <f>IF($B13="","",IF($J13="恒常依存（除外）","除外",IF($L13&gt;=12,"優先",IF($L13&gt;=8,"要検討","見送り候補"))))</f>
        <v/>
      </c>
      <c r="N13" s="11" t="n"/>
      <c r="O13" s="15" t="n"/>
      <c r="P13" s="15" t="n"/>
    </row>
    <row r="14">
      <c r="A14" s="10" t="n">
        <v>9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3">
        <f>IF($B14="","",IFERROR(VLOOKUP($C14,'選定基準・配点'!$B$21:$C$28,2,FALSE),0)+IF($E14="",0,IF(AND($E14&gt;=5,$E14&lt;=15),2,IF(OR(AND($E14&gt;=3,$E14&lt;=4),AND($E14&gt;=16,$E14&lt;=25)),1,0)))+IFERROR(VLOOKUP($G14,'選定基準・配点'!$B$30:$C$32,2,FALSE),0)+IFERROR(VLOOKUP($H14,'選定基準・配点'!$B$34:$C$36,2,FALSE),0)+IFERROR(VLOOKUP($I14,'選定基準・配点'!$B$38:$C$41,2,FALSE),0)+IFERROR(VLOOKUP($K14,'選定基準・配点'!$B$43:$C$48,2,FALSE),0))</f>
        <v/>
      </c>
      <c r="M14" s="14">
        <f>IF($B14="","",IF($J14="恒常依存（除外）","除外",IF($L14&gt;=12,"優先",IF($L14&gt;=8,"要検討","見送り候補"))))</f>
        <v/>
      </c>
      <c r="N14" s="11" t="n"/>
      <c r="O14" s="15" t="n"/>
      <c r="P14" s="15" t="n"/>
    </row>
    <row r="15">
      <c r="A15" s="10" t="n">
        <v>10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3">
        <f>IF($B15="","",IFERROR(VLOOKUP($C15,'選定基準・配点'!$B$21:$C$28,2,FALSE),0)+IF($E15="",0,IF(AND($E15&gt;=5,$E15&lt;=15),2,IF(OR(AND($E15&gt;=3,$E15&lt;=4),AND($E15&gt;=16,$E15&lt;=25)),1,0)))+IFERROR(VLOOKUP($G15,'選定基準・配点'!$B$30:$C$32,2,FALSE),0)+IFERROR(VLOOKUP($H15,'選定基準・配点'!$B$34:$C$36,2,FALSE),0)+IFERROR(VLOOKUP($I15,'選定基準・配点'!$B$38:$C$41,2,FALSE),0)+IFERROR(VLOOKUP($K15,'選定基準・配点'!$B$43:$C$48,2,FALSE),0))</f>
        <v/>
      </c>
      <c r="M15" s="14">
        <f>IF($B15="","",IF($J15="恒常依存（除外）","除外",IF($L15&gt;=12,"優先",IF($L15&gt;=8,"要検討","見送り候補"))))</f>
        <v/>
      </c>
      <c r="N15" s="11" t="n"/>
      <c r="O15" s="15" t="n"/>
      <c r="P15" s="15" t="n"/>
    </row>
  </sheetData>
  <autoFilter ref="A3:P15"/>
  <mergeCells count="2">
    <mergeCell ref="A1:P1"/>
    <mergeCell ref="A2:P2"/>
  </mergeCells>
  <conditionalFormatting sqref="M4:M15">
    <cfRule type="cellIs" priority="1" operator="equal" dxfId="0">
      <formula>"優先"</formula>
    </cfRule>
    <cfRule type="cellIs" priority="2" operator="equal" dxfId="1">
      <formula>"要検討"</formula>
    </cfRule>
    <cfRule type="cellIs" priority="3" operator="equal" dxfId="2">
      <formula>"除外"</formula>
    </cfRule>
    <cfRule type="cellIs" priority="4" operator="equal" dxfId="3">
      <formula>"見送り候補"</formula>
    </cfRule>
  </conditionalFormatting>
  <dataValidations count="8">
    <dataValidation sqref="C4:C15" showDropDown="0" showInputMessage="0" showErrorMessage="0" allowBlank="1" errorTitle="入力値" error="リストから選択してください" prompt="▼ から選択" type="list">
      <formula1>'選定基準・配点'!$B$21:$B$28</formula1>
    </dataValidation>
    <dataValidation sqref="G4:G15" showDropDown="0" showInputMessage="0" showErrorMessage="0" allowBlank="1" errorTitle="入力値" error="リストから選択してください" prompt="▼ から選択" type="list">
      <formula1>'選定基準・配点'!$B$30:$B$32</formula1>
    </dataValidation>
    <dataValidation sqref="H4:H15" showDropDown="0" showInputMessage="0" showErrorMessage="0" allowBlank="1" errorTitle="入力値" error="リストから選択してください" prompt="▼ から選択" type="list">
      <formula1>'選定基準・配点'!$B$34:$B$36</formula1>
    </dataValidation>
    <dataValidation sqref="I4:I15" showDropDown="0" showInputMessage="0" showErrorMessage="0" allowBlank="1" errorTitle="入力値" error="リストから選択してください" prompt="▼ から選択" type="list">
      <formula1>'選定基準・配点'!$B$38:$B$41</formula1>
    </dataValidation>
    <dataValidation sqref="J4:J15" showDropDown="0" showInputMessage="0" showErrorMessage="0" allowBlank="1" errorTitle="入力値" error="リストから選択してください" prompt="▼ から選択" type="list">
      <formula1>'選定基準・配点'!$B$50:$B$52</formula1>
    </dataValidation>
    <dataValidation sqref="K4:K15" showDropDown="0" showInputMessage="0" showErrorMessage="0" allowBlank="1" errorTitle="入力値" error="リストから選択してください" prompt="▼ から選択" type="list">
      <formula1>'選定基準・配点'!$B$43:$B$48</formula1>
    </dataValidation>
    <dataValidation sqref="F4:F15" showDropDown="0" showInputMessage="0" showErrorMessage="0" allowBlank="1" errorTitle="入力値" error="リストから選択してください" prompt="▼ から選択" type="list">
      <formula1>"オーナー,店長,施設長・園長,エリアマネージャー,その他"</formula1>
    </dataValidation>
    <dataValidation sqref="N4:N15" showDropDown="0" showInputMessage="0" showErrorMessage="0" allowBlank="1" errorTitle="入力値" error="リストから選択してください" prompt="▼ から選択" type="list">
      <formula1>"未接触,リスト化のみ,アプローチ済,返信あり,商談,初回WS実施,見送り"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8F88"/>
    <outlinePr summaryBelow="1" summaryRight="1"/>
    <pageSetUpPr/>
  </sheetPr>
  <dimension ref="A1:C5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8" customWidth="1" min="3" max="3"/>
  </cols>
  <sheetData>
    <row r="1">
      <c r="A1" s="1" t="inlineStr">
        <is>
          <t>ターゲット法人10社リスト｜選定基準・配点表</t>
        </is>
      </c>
    </row>
    <row r="2">
      <c r="A2" s="2" t="inlineStr">
        <is>
          <t>出所：法人ポジショニング.md（1.ペルソナ／適合サイン・除外条件・選定マトリクス）</t>
        </is>
      </c>
    </row>
    <row r="4">
      <c r="A4" s="16" t="inlineStr">
        <is>
          <t>■ 適合サイン（優先して入れる）</t>
        </is>
      </c>
    </row>
    <row r="5">
      <c r="A5" t="inlineStr">
        <is>
          <t>① Tier1業種：接客・飲食・宿・美容・介護・保育・式場（関係の質が接客品質と定着に直結）</t>
        </is>
      </c>
    </row>
    <row r="6">
      <c r="A6" t="inlineStr">
        <is>
          <t>② 5〜15名で、オーナー／店長／施設長が即決できる（1店舗・1施設で意思決定が完結）</t>
        </is>
      </c>
    </row>
    <row r="7">
      <c r="A7" t="inlineStr">
        <is>
          <t>③ 離職・採用難などの痛みが顕在（辞める・採用が追いつかない・ギスギス）</t>
        </is>
      </c>
    </row>
    <row r="8">
      <c r="A8" t="inlineStr">
        <is>
          <t>④ トップが長期雇用・育成志向（定着させたい意思がある）</t>
        </is>
      </c>
    </row>
    <row r="9">
      <c r="A9" t="inlineStr">
        <is>
          <t>⑤ 紹介経由でトップに直接届く接点がある</t>
        </is>
      </c>
    </row>
    <row r="11">
      <c r="A11" s="17" t="inlineStr">
        <is>
          <t>■ 除外条件（初期リストに入れない）</t>
        </is>
      </c>
    </row>
    <row r="12">
      <c r="A12" t="inlineStr">
        <is>
          <t>・スポットワーク／ギグ系（タイミー等）に恒常依存し、短期・入れ替わり前提で回している先</t>
        </is>
      </c>
    </row>
    <row r="13">
      <c r="A13" s="2" t="inlineStr">
        <is>
          <t xml:space="preserve">　注：繁忙期の一時利用まで除外しない。外すのは“依存”しているケース。</t>
        </is>
      </c>
    </row>
    <row r="15">
      <c r="A15" s="16" t="inlineStr">
        <is>
          <t>■ 優先度スコアの見方（自動計算）</t>
        </is>
      </c>
    </row>
    <row r="16">
      <c r="A16" t="inlineStr">
        <is>
          <t>12点以上＝優先／8〜11点＝要検討／7点以下＝見送り候補／スポットワーク恒常依存＝除外</t>
        </is>
      </c>
    </row>
    <row r="17">
      <c r="A17" s="2" t="inlineStr">
        <is>
          <t>満点17点＝業種3＋規模2＋即決3＋痛み3＋育成志向3＋接点3</t>
        </is>
      </c>
    </row>
    <row r="19">
      <c r="A19" s="16" t="inlineStr">
        <is>
          <t>■ 配点表（この表の数値を編集すると各行のスコアに反映されます）</t>
        </is>
      </c>
    </row>
    <row r="20">
      <c r="A20" s="18" t="inlineStr">
        <is>
          <t>項目</t>
        </is>
      </c>
      <c r="B20" s="18" t="inlineStr">
        <is>
          <t>選択肢</t>
        </is>
      </c>
      <c r="C20" s="18" t="inlineStr">
        <is>
          <t>配点</t>
        </is>
      </c>
    </row>
    <row r="21">
      <c r="A21" s="19" t="inlineStr">
        <is>
          <t>業種（Tier1）</t>
        </is>
      </c>
      <c r="B21" s="20" t="inlineStr">
        <is>
          <t>飲食・カフェ</t>
        </is>
      </c>
      <c r="C21" s="10" t="n">
        <v>3</v>
      </c>
    </row>
    <row r="22">
      <c r="A22" s="20" t="n"/>
      <c r="B22" s="20" t="inlineStr">
        <is>
          <t>美容室・サロン</t>
        </is>
      </c>
      <c r="C22" s="10" t="n">
        <v>3</v>
      </c>
    </row>
    <row r="23">
      <c r="A23" s="20" t="n"/>
      <c r="B23" s="20" t="inlineStr">
        <is>
          <t>小規模宿</t>
        </is>
      </c>
      <c r="C23" s="10" t="n">
        <v>3</v>
      </c>
    </row>
    <row r="24">
      <c r="A24" s="20" t="n"/>
      <c r="B24" s="20" t="inlineStr">
        <is>
          <t>介護・保育</t>
        </is>
      </c>
      <c r="C24" s="10" t="n">
        <v>3</v>
      </c>
    </row>
    <row r="25">
      <c r="A25" s="20" t="n"/>
      <c r="B25" s="20" t="inlineStr">
        <is>
          <t>結婚式場</t>
        </is>
      </c>
      <c r="C25" s="10" t="n">
        <v>3</v>
      </c>
    </row>
    <row r="26">
      <c r="A26" s="20" t="n"/>
      <c r="B26" s="20" t="inlineStr">
        <is>
          <t>その他Tier1</t>
        </is>
      </c>
      <c r="C26" s="10" t="n">
        <v>2</v>
      </c>
    </row>
    <row r="27">
      <c r="A27" s="20" t="n"/>
      <c r="B27" s="20" t="inlineStr">
        <is>
          <t>Tier2（多店舗・宴会等）</t>
        </is>
      </c>
      <c r="C27" s="10" t="n">
        <v>1</v>
      </c>
    </row>
    <row r="28">
      <c r="A28" s="20" t="n"/>
      <c r="B28" s="20" t="inlineStr">
        <is>
          <t>対象外</t>
        </is>
      </c>
      <c r="C28" s="10" t="n">
        <v>0</v>
      </c>
    </row>
    <row r="30">
      <c r="A30" s="19" t="inlineStr">
        <is>
          <t>即決度</t>
        </is>
      </c>
      <c r="B30" s="20" t="inlineStr">
        <is>
          <t>即決可（トップ即決）</t>
        </is>
      </c>
      <c r="C30" s="10" t="n">
        <v>3</v>
      </c>
    </row>
    <row r="31">
      <c r="A31" s="20" t="n"/>
      <c r="B31" s="20" t="inlineStr">
        <is>
          <t>一部稟議</t>
        </is>
      </c>
      <c r="C31" s="10" t="n">
        <v>1</v>
      </c>
    </row>
    <row r="32">
      <c r="A32" s="20" t="n"/>
      <c r="B32" s="20" t="inlineStr">
        <is>
          <t>稟議必要</t>
        </is>
      </c>
      <c r="C32" s="10" t="n">
        <v>0</v>
      </c>
    </row>
    <row r="34">
      <c r="A34" s="19" t="inlineStr">
        <is>
          <t>離職・採用の痛み</t>
        </is>
      </c>
      <c r="B34" s="20" t="inlineStr">
        <is>
          <t>高（顕在）</t>
        </is>
      </c>
      <c r="C34" s="10" t="n">
        <v>3</v>
      </c>
    </row>
    <row r="35">
      <c r="A35" s="20" t="n"/>
      <c r="B35" s="20" t="inlineStr">
        <is>
          <t>中</t>
        </is>
      </c>
      <c r="C35" s="10" t="n">
        <v>2</v>
      </c>
    </row>
    <row r="36">
      <c r="A36" s="20" t="n"/>
      <c r="B36" s="20" t="inlineStr">
        <is>
          <t>低</t>
        </is>
      </c>
      <c r="C36" s="10" t="n">
        <v>0</v>
      </c>
    </row>
    <row r="38">
      <c r="A38" s="19" t="inlineStr">
        <is>
          <t>長期雇用・育成志向</t>
        </is>
      </c>
      <c r="B38" s="20" t="inlineStr">
        <is>
          <t>強い</t>
        </is>
      </c>
      <c r="C38" s="10" t="n">
        <v>3</v>
      </c>
    </row>
    <row r="39">
      <c r="A39" s="20" t="n"/>
      <c r="B39" s="20" t="inlineStr">
        <is>
          <t>普通</t>
        </is>
      </c>
      <c r="C39" s="10" t="n">
        <v>1</v>
      </c>
    </row>
    <row r="40">
      <c r="A40" s="20" t="n"/>
      <c r="B40" s="20" t="inlineStr">
        <is>
          <t>弱い</t>
        </is>
      </c>
      <c r="C40" s="10" t="n">
        <v>0</v>
      </c>
    </row>
    <row r="41">
      <c r="A41" s="20" t="n"/>
      <c r="B41" s="20" t="inlineStr">
        <is>
          <t>不明</t>
        </is>
      </c>
      <c r="C41" s="10" t="n">
        <v>0</v>
      </c>
    </row>
    <row r="43">
      <c r="A43" s="19" t="inlineStr">
        <is>
          <t>接点（経路）</t>
        </is>
      </c>
      <c r="B43" s="20" t="inlineStr">
        <is>
          <t>紹介（トップ直）</t>
        </is>
      </c>
      <c r="C43" s="10" t="n">
        <v>3</v>
      </c>
    </row>
    <row r="44">
      <c r="A44" s="20" t="n"/>
      <c r="B44" s="20" t="inlineStr">
        <is>
          <t>紹介（担当者）</t>
        </is>
      </c>
      <c r="C44" s="10" t="n">
        <v>2</v>
      </c>
    </row>
    <row r="45">
      <c r="A45" s="20" t="n"/>
      <c r="B45" s="20" t="inlineStr">
        <is>
          <t>直接（コールド）</t>
        </is>
      </c>
      <c r="C45" s="10" t="n">
        <v>1</v>
      </c>
    </row>
    <row r="46">
      <c r="A46" s="20" t="n"/>
      <c r="B46" s="20" t="inlineStr">
        <is>
          <t>LinkedIn</t>
        </is>
      </c>
      <c r="C46" s="10" t="n">
        <v>1</v>
      </c>
    </row>
    <row r="47">
      <c r="A47" s="20" t="n"/>
      <c r="B47" s="20" t="inlineStr">
        <is>
          <t>イベント・交流会</t>
        </is>
      </c>
      <c r="C47" s="10" t="n">
        <v>1</v>
      </c>
    </row>
    <row r="48">
      <c r="A48" s="20" t="n"/>
      <c r="B48" s="20" t="inlineStr">
        <is>
          <t>不明</t>
        </is>
      </c>
      <c r="C48" s="10" t="n">
        <v>0</v>
      </c>
    </row>
    <row r="50">
      <c r="A50" s="19" t="inlineStr">
        <is>
          <t>スポットワーク依存</t>
        </is>
      </c>
      <c r="B50" s="20" t="inlineStr">
        <is>
          <t>なし</t>
        </is>
      </c>
      <c r="C50" s="20" t="n"/>
    </row>
    <row r="51">
      <c r="A51" s="20" t="n"/>
      <c r="B51" s="20" t="inlineStr">
        <is>
          <t>一時的のみ</t>
        </is>
      </c>
      <c r="C51" s="20" t="n"/>
    </row>
    <row r="52">
      <c r="A52" s="20" t="n"/>
      <c r="B52" s="20" t="inlineStr">
        <is>
          <t>恒常依存（除外）</t>
        </is>
      </c>
      <c r="C52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2026-07-04T01:02:40Z</dcterms:created>
  <dcterms:modified xsi:type="dcterms:W3CDTF">2026-07-04T01:02:40Z</dcterms:modified>
</cp:coreProperties>
</file>